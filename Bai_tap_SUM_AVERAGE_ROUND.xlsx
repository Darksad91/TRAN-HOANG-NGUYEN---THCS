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t me\Downloads\nopbt\"/>
    </mc:Choice>
  </mc:AlternateContent>
  <xr:revisionPtr revIDLastSave="0" documentId="13_ncr:1_{38ED877C-5532-482A-996A-E515607D726A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Bai1_DiemTB" sheetId="1" r:id="rId1"/>
    <sheet name="Bai2_DoanhThu" sheetId="2" r:id="rId2"/>
    <sheet name="Bai3_Luong" sheetId="3" r:id="rId3"/>
    <sheet name="Bai4_TrongS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4" l="1"/>
  <c r="I2" i="4" s="1"/>
  <c r="G3" i="1"/>
  <c r="G4" i="1"/>
  <c r="G5" i="1"/>
  <c r="G6" i="1"/>
  <c r="G2" i="1"/>
  <c r="F3" i="1"/>
  <c r="F4" i="1"/>
  <c r="F5" i="1"/>
  <c r="F6" i="1"/>
  <c r="F2" i="1"/>
  <c r="E3" i="1"/>
  <c r="E4" i="1"/>
  <c r="E5" i="1"/>
  <c r="E6" i="1"/>
  <c r="E2" i="1"/>
  <c r="G3" i="2"/>
  <c r="G4" i="2"/>
  <c r="G5" i="2"/>
  <c r="G2" i="2"/>
  <c r="F3" i="2"/>
  <c r="F4" i="2"/>
  <c r="F5" i="2"/>
  <c r="F2" i="2"/>
  <c r="E3" i="2"/>
  <c r="E4" i="2"/>
  <c r="E5" i="2"/>
  <c r="E2" i="2"/>
  <c r="F3" i="3"/>
  <c r="F2" i="3"/>
  <c r="G2" i="3" s="1"/>
  <c r="G3" i="3"/>
  <c r="G4" i="3"/>
  <c r="G5" i="3"/>
  <c r="F4" i="3"/>
  <c r="F5" i="3"/>
  <c r="E3" i="3"/>
  <c r="E4" i="3"/>
  <c r="E5" i="3"/>
  <c r="E2" i="3"/>
  <c r="I3" i="4"/>
  <c r="I4" i="4"/>
  <c r="H3" i="4"/>
  <c r="H4" i="4"/>
</calcChain>
</file>

<file path=xl/sharedStrings.xml><?xml version="1.0" encoding="utf-8"?>
<sst xmlns="http://schemas.openxmlformats.org/spreadsheetml/2006/main" count="46" uniqueCount="33">
  <si>
    <t>Họ tên</t>
  </si>
  <si>
    <t>Toán</t>
  </si>
  <si>
    <t>Lý</t>
  </si>
  <si>
    <t>Hóa</t>
  </si>
  <si>
    <t>Tổng điểm</t>
  </si>
  <si>
    <t>Trung bình</t>
  </si>
  <si>
    <t>TB làm tròn</t>
  </si>
  <si>
    <t>An</t>
  </si>
  <si>
    <t>Bình</t>
  </si>
  <si>
    <t>Chi</t>
  </si>
  <si>
    <t>Dũng</t>
  </si>
  <si>
    <t>Hoa</t>
  </si>
  <si>
    <t>Nhân viên</t>
  </si>
  <si>
    <t>Tháng 1</t>
  </si>
  <si>
    <t>Tháng 2</t>
  </si>
  <si>
    <t>Tháng 3</t>
  </si>
  <si>
    <t>Hạnh</t>
  </si>
  <si>
    <t>Linh</t>
  </si>
  <si>
    <t>Nam</t>
  </si>
  <si>
    <t>Quân</t>
  </si>
  <si>
    <t>Lương cơ bản</t>
  </si>
  <si>
    <t>Phụ cấp</t>
  </si>
  <si>
    <t>Thưởng</t>
  </si>
  <si>
    <t>Tổng thu nhập</t>
  </si>
  <si>
    <t>Thu nhập TB</t>
  </si>
  <si>
    <t>Trọng số Toán</t>
  </si>
  <si>
    <t>Trọng số Lý</t>
  </si>
  <si>
    <t>Trọng số Hóa</t>
  </si>
  <si>
    <t>Điểm TB có trọng số</t>
  </si>
  <si>
    <t>Doanh thu lớn nhất</t>
  </si>
  <si>
    <t>Doanh thu nhỏ nhất</t>
  </si>
  <si>
    <t>Số tháng có doanh thu lớn hơn 10,000,000</t>
  </si>
  <si>
    <t>Kết quả (Đạt nếu TB&gt;=5)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</si>
</sst>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2" fillId="0" borderId="1" xfId="0" applyFont="1" applyFill="1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I7" sqref="I7"/>
    </sheetView>
  </sheetViews>
  <sheetFormatPr defaultRowHeight="15" x14ac:dyDescent="0.25"/>
  <cols>
    <col min="1" max="1" width="6.85546875" bestFit="1" customWidth="1"/>
    <col min="5" max="5" width="10.42578125" bestFit="1" customWidth="1"/>
    <col min="6" max="6" width="10.5703125" bestFit="1" customWidth="1"/>
    <col min="7" max="7" width="11.42578125" bestFit="1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8</v>
      </c>
      <c r="C2" s="2">
        <v>7</v>
      </c>
      <c r="D2" s="2">
        <v>9</v>
      </c>
      <c r="E2" s="2">
        <f>B2 + C2 + D2</f>
        <v>24</v>
      </c>
      <c r="F2" s="5">
        <f>AVERAGE(B2:D2)</f>
        <v>8</v>
      </c>
      <c r="G2" s="5">
        <f>ROUND(F2,0)</f>
        <v>8</v>
      </c>
    </row>
    <row r="3" spans="1:7" x14ac:dyDescent="0.25">
      <c r="A3" s="2" t="s">
        <v>8</v>
      </c>
      <c r="B3" s="2">
        <v>6</v>
      </c>
      <c r="C3" s="2">
        <v>5</v>
      </c>
      <c r="D3" s="2">
        <v>7</v>
      </c>
      <c r="E3" s="2">
        <f t="shared" ref="E3:E6" si="0">B3 + C3 + D3</f>
        <v>18</v>
      </c>
      <c r="F3" s="5">
        <f t="shared" ref="F3:F6" si="1">AVERAGE(B3:D3)</f>
        <v>6</v>
      </c>
      <c r="G3" s="5">
        <f t="shared" ref="G3:G6" si="2">ROUND(F3,0)</f>
        <v>6</v>
      </c>
    </row>
    <row r="4" spans="1:7" x14ac:dyDescent="0.25">
      <c r="A4" s="2" t="s">
        <v>9</v>
      </c>
      <c r="B4" s="2">
        <v>9</v>
      </c>
      <c r="C4" s="2">
        <v>9</v>
      </c>
      <c r="D4" s="2">
        <v>8</v>
      </c>
      <c r="E4" s="2">
        <f t="shared" si="0"/>
        <v>26</v>
      </c>
      <c r="F4" s="5">
        <f t="shared" si="1"/>
        <v>8.6666666666666661</v>
      </c>
      <c r="G4" s="5">
        <f t="shared" si="2"/>
        <v>9</v>
      </c>
    </row>
    <row r="5" spans="1:7" x14ac:dyDescent="0.25">
      <c r="A5" s="2" t="s">
        <v>10</v>
      </c>
      <c r="B5" s="2">
        <v>5</v>
      </c>
      <c r="C5" s="2">
        <v>6</v>
      </c>
      <c r="D5" s="2">
        <v>6</v>
      </c>
      <c r="E5" s="2">
        <f t="shared" si="0"/>
        <v>17</v>
      </c>
      <c r="F5" s="5">
        <f t="shared" si="1"/>
        <v>5.666666666666667</v>
      </c>
      <c r="G5" s="5">
        <f t="shared" si="2"/>
        <v>6</v>
      </c>
    </row>
    <row r="6" spans="1:7" x14ac:dyDescent="0.25">
      <c r="A6" s="2" t="s">
        <v>11</v>
      </c>
      <c r="B6" s="2">
        <v>10</v>
      </c>
      <c r="C6" s="2">
        <v>9</v>
      </c>
      <c r="D6" s="2">
        <v>10</v>
      </c>
      <c r="E6" s="2">
        <f t="shared" si="0"/>
        <v>29</v>
      </c>
      <c r="F6" s="5">
        <f t="shared" si="1"/>
        <v>9.6666666666666661</v>
      </c>
      <c r="G6" s="5">
        <f t="shared" si="2"/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G12" sqref="G12"/>
    </sheetView>
  </sheetViews>
  <sheetFormatPr defaultRowHeight="15" x14ac:dyDescent="0.25"/>
  <cols>
    <col min="1" max="1" width="10" bestFit="1" customWidth="1"/>
    <col min="2" max="2" width="14.7109375" customWidth="1"/>
    <col min="3" max="3" width="12.140625" customWidth="1"/>
    <col min="4" max="4" width="9.85546875" customWidth="1"/>
    <col min="5" max="5" width="20.7109375" customWidth="1"/>
    <col min="6" max="6" width="20.42578125" customWidth="1"/>
    <col min="7" max="7" width="39.28515625" customWidth="1"/>
  </cols>
  <sheetData>
    <row r="1" spans="1:7" ht="18.95" customHeigh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4" t="s">
        <v>29</v>
      </c>
      <c r="F1" s="4" t="s">
        <v>30</v>
      </c>
      <c r="G1" s="4" t="s">
        <v>31</v>
      </c>
    </row>
    <row r="2" spans="1:7" ht="18.95" customHeight="1" x14ac:dyDescent="0.25">
      <c r="A2" s="2" t="s">
        <v>16</v>
      </c>
      <c r="B2" s="3">
        <v>12500000</v>
      </c>
      <c r="C2" s="3">
        <v>14200000</v>
      </c>
      <c r="D2" s="3">
        <v>13800000</v>
      </c>
      <c r="E2" s="3">
        <f>MAX(B2:D2)</f>
        <v>14200000</v>
      </c>
      <c r="F2" s="3">
        <f>MIN(B2:D2)</f>
        <v>12500000</v>
      </c>
      <c r="G2" s="2">
        <f>COUNTIF(B2:D2,"&gt;10000000")</f>
        <v>3</v>
      </c>
    </row>
    <row r="3" spans="1:7" ht="18.95" customHeight="1" x14ac:dyDescent="0.25">
      <c r="A3" s="2" t="s">
        <v>17</v>
      </c>
      <c r="B3" s="3">
        <v>10000000</v>
      </c>
      <c r="C3" s="3">
        <v>11500000</v>
      </c>
      <c r="D3" s="3">
        <v>9800000</v>
      </c>
      <c r="E3" s="3">
        <f t="shared" ref="E3:E5" si="0">MAX(B3:D3)</f>
        <v>11500000</v>
      </c>
      <c r="F3" s="3">
        <f t="shared" ref="F3:F5" si="1">MIN(B3:D3)</f>
        <v>9800000</v>
      </c>
      <c r="G3" s="2">
        <f t="shared" ref="G3:G5" si="2">COUNTIF(B3:D3,"&gt;10000000")</f>
        <v>1</v>
      </c>
    </row>
    <row r="4" spans="1:7" ht="18.95" customHeight="1" x14ac:dyDescent="0.25">
      <c r="A4" s="2" t="s">
        <v>18</v>
      </c>
      <c r="B4" s="3">
        <v>15600000</v>
      </c>
      <c r="C4" s="3">
        <v>16200000</v>
      </c>
      <c r="D4" s="3">
        <v>15800000</v>
      </c>
      <c r="E4" s="3">
        <f t="shared" si="0"/>
        <v>16200000</v>
      </c>
      <c r="F4" s="3">
        <f t="shared" si="1"/>
        <v>15600000</v>
      </c>
      <c r="G4" s="2">
        <f t="shared" si="2"/>
        <v>3</v>
      </c>
    </row>
    <row r="5" spans="1:7" ht="18.95" customHeight="1" x14ac:dyDescent="0.25">
      <c r="A5" s="2" t="s">
        <v>19</v>
      </c>
      <c r="B5" s="3">
        <v>8500000</v>
      </c>
      <c r="C5" s="3">
        <v>9200000</v>
      </c>
      <c r="D5" s="3">
        <v>10000000</v>
      </c>
      <c r="E5" s="3">
        <f t="shared" si="0"/>
        <v>10000000</v>
      </c>
      <c r="F5" s="3">
        <f t="shared" si="1"/>
        <v>8500000</v>
      </c>
      <c r="G5" s="2">
        <f t="shared" si="2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activeCell="G10" sqref="G10"/>
    </sheetView>
  </sheetViews>
  <sheetFormatPr defaultRowHeight="15" x14ac:dyDescent="0.25"/>
  <cols>
    <col min="1" max="1" width="10" bestFit="1" customWidth="1"/>
    <col min="2" max="2" width="13.5703125" bestFit="1" customWidth="1"/>
    <col min="3" max="4" width="11.28515625" bestFit="1" customWidth="1"/>
    <col min="5" max="5" width="14" bestFit="1" customWidth="1"/>
    <col min="6" max="6" width="12.140625" bestFit="1" customWidth="1"/>
    <col min="7" max="7" width="11.42578125" bestFit="1" customWidth="1"/>
  </cols>
  <sheetData>
    <row r="1" spans="1:7" ht="15.75" x14ac:dyDescent="0.25">
      <c r="A1" s="1" t="s">
        <v>12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6</v>
      </c>
    </row>
    <row r="2" spans="1:7" x14ac:dyDescent="0.25">
      <c r="A2" s="2" t="s">
        <v>7</v>
      </c>
      <c r="B2" s="3">
        <v>6000000</v>
      </c>
      <c r="C2" s="3">
        <v>500000</v>
      </c>
      <c r="D2" s="3">
        <v>1000000</v>
      </c>
      <c r="E2" s="3">
        <f>B2 + C2 + D2</f>
        <v>7500000</v>
      </c>
      <c r="F2" s="3">
        <f>AVERAGE(B2:D2)</f>
        <v>2500000</v>
      </c>
      <c r="G2" s="3">
        <f>ROUND(F2,0)</f>
        <v>2500000</v>
      </c>
    </row>
    <row r="3" spans="1:7" x14ac:dyDescent="0.25">
      <c r="A3" s="2" t="s">
        <v>8</v>
      </c>
      <c r="B3" s="3">
        <v>7000000</v>
      </c>
      <c r="C3" s="3">
        <v>1000000</v>
      </c>
      <c r="D3" s="3">
        <v>800000</v>
      </c>
      <c r="E3" s="3">
        <f t="shared" ref="E3:E5" si="0">B3 + C3 + D3</f>
        <v>8800000</v>
      </c>
      <c r="F3" s="3">
        <f>AVERAGE(B3:D3)</f>
        <v>2933333.3333333335</v>
      </c>
      <c r="G3" s="3">
        <f t="shared" ref="G3:G5" si="1">ROUND(F3,0)</f>
        <v>2933333</v>
      </c>
    </row>
    <row r="4" spans="1:7" x14ac:dyDescent="0.25">
      <c r="A4" s="2" t="s">
        <v>9</v>
      </c>
      <c r="B4" s="3">
        <v>5500000</v>
      </c>
      <c r="C4" s="3">
        <v>700000</v>
      </c>
      <c r="D4" s="3">
        <v>500000</v>
      </c>
      <c r="E4" s="3">
        <f t="shared" si="0"/>
        <v>6700000</v>
      </c>
      <c r="F4" s="3">
        <f t="shared" ref="F4:F5" si="2">AVERAGE(B4:D4)</f>
        <v>2233333.3333333335</v>
      </c>
      <c r="G4" s="3">
        <f t="shared" si="1"/>
        <v>2233333</v>
      </c>
    </row>
    <row r="5" spans="1:7" x14ac:dyDescent="0.25">
      <c r="A5" s="2" t="s">
        <v>10</v>
      </c>
      <c r="B5" s="3">
        <v>8000000</v>
      </c>
      <c r="C5" s="3">
        <v>500000</v>
      </c>
      <c r="D5" s="3">
        <v>2000000</v>
      </c>
      <c r="E5" s="3">
        <f t="shared" si="0"/>
        <v>10500000</v>
      </c>
      <c r="F5" s="3">
        <f t="shared" si="2"/>
        <v>3500000</v>
      </c>
      <c r="G5" s="3">
        <f t="shared" si="1"/>
        <v>3500000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tabSelected="1" workbookViewId="0">
      <selection activeCell="G10" sqref="G10"/>
    </sheetView>
  </sheetViews>
  <sheetFormatPr defaultRowHeight="15" x14ac:dyDescent="0.25"/>
  <cols>
    <col min="5" max="5" width="13.7109375" bestFit="1" customWidth="1"/>
    <col min="6" max="6" width="11" bestFit="1" customWidth="1"/>
    <col min="7" max="7" width="12.7109375" bestFit="1" customWidth="1"/>
    <col min="8" max="8" width="19" bestFit="1" customWidth="1"/>
    <col min="9" max="9" width="27.570312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26</v>
      </c>
      <c r="G1" s="1" t="s">
        <v>27</v>
      </c>
      <c r="H1" s="1" t="s">
        <v>28</v>
      </c>
      <c r="I1" s="4" t="s">
        <v>32</v>
      </c>
    </row>
    <row r="2" spans="1:9" x14ac:dyDescent="0.25">
      <c r="A2" s="6" t="s">
        <v>7</v>
      </c>
      <c r="B2" s="6">
        <v>8</v>
      </c>
      <c r="C2" s="6">
        <v>9</v>
      </c>
      <c r="D2" s="6">
        <v>10</v>
      </c>
      <c r="E2" s="6">
        <v>3</v>
      </c>
      <c r="F2" s="6">
        <v>2</v>
      </c>
      <c r="G2" s="6">
        <v>2</v>
      </c>
      <c r="H2" s="7">
        <f>(B2*E2 + C2*F2 + D2*G2) / (E2 + F2 + G2)</f>
        <v>8.8571428571428577</v>
      </c>
      <c r="I2" s="6" t="str">
        <f>IF(H2&gt;=5,"Đạt","Không đạt")</f>
        <v>Đạt</v>
      </c>
    </row>
    <row r="3" spans="1:9" x14ac:dyDescent="0.25">
      <c r="A3" s="6" t="s">
        <v>8</v>
      </c>
      <c r="B3" s="6">
        <v>3</v>
      </c>
      <c r="C3" s="6">
        <v>7</v>
      </c>
      <c r="D3" s="6">
        <v>2</v>
      </c>
      <c r="E3" s="6">
        <v>3</v>
      </c>
      <c r="F3" s="6">
        <v>2</v>
      </c>
      <c r="G3" s="6">
        <v>2</v>
      </c>
      <c r="H3" s="7">
        <f t="shared" ref="H3:H4" si="0">(B3*E3 + C3*F3 + D3*G3) / (E3 + F3 + G3)</f>
        <v>3.8571428571428572</v>
      </c>
      <c r="I3" s="6" t="str">
        <f t="shared" ref="I3:I4" si="1">IF(H3&gt;=5,"Đạt","Không đạt")</f>
        <v>Không đạt</v>
      </c>
    </row>
    <row r="4" spans="1:9" x14ac:dyDescent="0.25">
      <c r="A4" s="6" t="s">
        <v>9</v>
      </c>
      <c r="B4" s="6">
        <v>6</v>
      </c>
      <c r="C4" s="6">
        <v>4</v>
      </c>
      <c r="D4" s="6">
        <v>5</v>
      </c>
      <c r="E4" s="6">
        <v>3</v>
      </c>
      <c r="F4" s="6">
        <v>2</v>
      </c>
      <c r="G4" s="6">
        <v>2</v>
      </c>
      <c r="H4" s="7">
        <f t="shared" si="0"/>
        <v>5.1428571428571432</v>
      </c>
      <c r="I4" s="6" t="str">
        <f t="shared" si="1"/>
        <v>Đạt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Bai1_DiemTB</vt:lpstr>
      <vt:lpstr>Bai2_DoanhThu</vt:lpstr>
      <vt:lpstr>Bai3_Luong</vt:lpstr>
      <vt:lpstr>Bai4_TrongSo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Tran</cp:lastModifiedBy>
  <dcterms:created xsi:type="dcterms:W3CDTF">2025-10-28T04:06:36Z</dcterms:created>
  <dcterms:modified xsi:type="dcterms:W3CDTF">2025-11-22T02:00:08Z</dcterms:modified>
</cp:coreProperties>
</file>