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it me\Downloads\nopbt\"/>
    </mc:Choice>
  </mc:AlternateContent>
  <xr:revisionPtr revIDLastSave="0" documentId="13_ncr:1_{DFE26A96-F300-4CAB-85C7-A609A025E99E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DANH MỤC SẢN PHẨM" sheetId="1" r:id="rId1"/>
    <sheet name="BẢNG BÁN HÀNG" sheetId="2" r:id="rId2"/>
    <sheet name="BÁO CÁO – THỐNG KÊ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3" l="1"/>
  <c r="E2" i="3" s="1"/>
  <c r="D3" i="3"/>
  <c r="E3" i="3" s="1"/>
  <c r="D4" i="3"/>
  <c r="E4" i="3" s="1"/>
  <c r="D5" i="3"/>
  <c r="E5" i="3" s="1"/>
  <c r="C3" i="3"/>
  <c r="C4" i="3"/>
  <c r="C5" i="3"/>
  <c r="C2" i="3"/>
  <c r="B3" i="3"/>
  <c r="B4" i="3"/>
  <c r="B5" i="3"/>
  <c r="B2" i="3"/>
  <c r="F3" i="2"/>
  <c r="F2" i="2"/>
  <c r="F4" i="2"/>
  <c r="F5" i="2"/>
  <c r="F6" i="2"/>
  <c r="E3" i="2"/>
  <c r="E4" i="2"/>
  <c r="E5" i="2"/>
  <c r="E6" i="2"/>
  <c r="E2" i="2"/>
  <c r="C3" i="2"/>
  <c r="C4" i="2"/>
  <c r="C5" i="2"/>
  <c r="C6" i="2"/>
  <c r="C2" i="2"/>
</calcChain>
</file>

<file path=xl/sharedStrings.xml><?xml version="1.0" encoding="utf-8"?>
<sst xmlns="http://schemas.openxmlformats.org/spreadsheetml/2006/main" count="69" uniqueCount="51">
  <si>
    <t>Mã SP</t>
  </si>
  <si>
    <t>Tên sản phẩm</t>
  </si>
  <si>
    <t>Đơn vị tính</t>
  </si>
  <si>
    <t>Đơn giá (VNĐ)</t>
  </si>
  <si>
    <t>Nhóm hàng</t>
  </si>
  <si>
    <t>SP001</t>
  </si>
  <si>
    <t>Sữa tươi Vinamilk 1L</t>
  </si>
  <si>
    <t>Hộp</t>
  </si>
  <si>
    <t>Đồ uống</t>
  </si>
  <si>
    <t>SP002</t>
  </si>
  <si>
    <t>Bánh Oreo 133g</t>
  </si>
  <si>
    <t>Gói</t>
  </si>
  <si>
    <t>Bánh kẹo</t>
  </si>
  <si>
    <t>SP003</t>
  </si>
  <si>
    <t>Dầu ăn Tường An 1L</t>
  </si>
  <si>
    <t>Chai</t>
  </si>
  <si>
    <t>Gia vị</t>
  </si>
  <si>
    <t>SP004</t>
  </si>
  <si>
    <t>Mì Hảo Hảo tôm chua cay</t>
  </si>
  <si>
    <t>Thùng</t>
  </si>
  <si>
    <t>Thực phẩm</t>
  </si>
  <si>
    <t>SP005</t>
  </si>
  <si>
    <t>Nước suối Lavie 500ml</t>
  </si>
  <si>
    <t>Ngày bán</t>
  </si>
  <si>
    <t>Tên SP</t>
  </si>
  <si>
    <t>Số lượng</t>
  </si>
  <si>
    <t>Đơn giá</t>
  </si>
  <si>
    <t>Thành tiền</t>
  </si>
  <si>
    <t>Ghi chú</t>
  </si>
  <si>
    <t>01/11/2025</t>
  </si>
  <si>
    <t>02/11/2025</t>
  </si>
  <si>
    <t>03/11/2025</t>
  </si>
  <si>
    <t>Tổng số lượng</t>
  </si>
  <si>
    <t>Tổng doanh thu</t>
  </si>
  <si>
    <t>Doanh thu cao nhất</t>
  </si>
  <si>
    <t>Ngày bán nhiều nhất</t>
  </si>
  <si>
    <t>SP006</t>
  </si>
  <si>
    <t>Café lạnh</t>
  </si>
  <si>
    <t>Lon</t>
  </si>
  <si>
    <t>SP007</t>
  </si>
  <si>
    <t>Xúc xích</t>
  </si>
  <si>
    <t>Cái</t>
  </si>
  <si>
    <t>SP008</t>
  </si>
  <si>
    <t>Kẹo Socola</t>
  </si>
  <si>
    <t>Thỏi</t>
  </si>
  <si>
    <t>STT</t>
  </si>
  <si>
    <t>Hàng bán ổn định, nhu cầu đều.</t>
  </si>
  <si>
    <t>Sản phẩm bán chạy vào cuối tuần.</t>
  </si>
  <si>
    <t>Khách mua bổ sung; tồn kho còn ít.</t>
  </si>
  <si>
    <t>Bán nhanh trong ngày nắng nóng.</t>
  </si>
  <si>
    <t>Sản phẩm tiêu thụ cao, nên nhập thêm.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</si>
</sst>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9BBB59"/>
        <bgColor rgb="FF9BBB59"/>
      </patternFill>
    </fill>
    <fill>
      <patternFill patternType="solid">
        <fgColor rgb="FFF79646"/>
        <bgColor rgb="FFF7964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3" borderId="1" xfId="0" applyFont="1" applyFill="1" applyBorder="1" applyAlignment="1">
      <alignment horizontal="center" vertical="center"/>
    </xf>
    <xf numFmtId="3" fontId="0" fillId="0" borderId="1" xfId="0" applyNumberFormat="1" applyBorder="1"/>
    <xf numFmtId="0" fontId="1" fillId="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E15" sqref="E15"/>
    </sheetView>
  </sheetViews>
  <sheetFormatPr defaultRowHeight="15" x14ac:dyDescent="0.25"/>
  <cols>
    <col min="2" max="2" width="7" customWidth="1"/>
    <col min="3" max="3" width="25" customWidth="1"/>
    <col min="4" max="4" width="13" customWidth="1"/>
    <col min="5" max="5" width="15" customWidth="1"/>
    <col min="6" max="6" width="11" customWidth="1"/>
  </cols>
  <sheetData>
    <row r="1" spans="1:6" x14ac:dyDescent="0.25">
      <c r="A1" s="1" t="s">
        <v>45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5">
      <c r="A2" s="2">
        <v>1</v>
      </c>
      <c r="B2" s="3" t="s">
        <v>5</v>
      </c>
      <c r="C2" s="3" t="s">
        <v>6</v>
      </c>
      <c r="D2" s="3" t="s">
        <v>7</v>
      </c>
      <c r="E2" s="5">
        <v>32000</v>
      </c>
      <c r="F2" s="3" t="s">
        <v>8</v>
      </c>
    </row>
    <row r="3" spans="1:6" x14ac:dyDescent="0.25">
      <c r="A3" s="2">
        <v>2</v>
      </c>
      <c r="B3" s="3" t="s">
        <v>9</v>
      </c>
      <c r="C3" s="3" t="s">
        <v>10</v>
      </c>
      <c r="D3" s="3" t="s">
        <v>11</v>
      </c>
      <c r="E3" s="5">
        <v>18000</v>
      </c>
      <c r="F3" s="3" t="s">
        <v>12</v>
      </c>
    </row>
    <row r="4" spans="1:6" x14ac:dyDescent="0.25">
      <c r="A4" s="2">
        <v>3</v>
      </c>
      <c r="B4" s="3" t="s">
        <v>13</v>
      </c>
      <c r="C4" s="3" t="s">
        <v>14</v>
      </c>
      <c r="D4" s="3" t="s">
        <v>15</v>
      </c>
      <c r="E4" s="5">
        <v>52000</v>
      </c>
      <c r="F4" s="3" t="s">
        <v>16</v>
      </c>
    </row>
    <row r="5" spans="1:6" x14ac:dyDescent="0.25">
      <c r="A5" s="2">
        <v>4</v>
      </c>
      <c r="B5" s="3" t="s">
        <v>17</v>
      </c>
      <c r="C5" s="3" t="s">
        <v>18</v>
      </c>
      <c r="D5" s="3" t="s">
        <v>19</v>
      </c>
      <c r="E5" s="5">
        <v>110000</v>
      </c>
      <c r="F5" s="3" t="s">
        <v>20</v>
      </c>
    </row>
    <row r="6" spans="1:6" x14ac:dyDescent="0.25">
      <c r="A6" s="2">
        <v>5</v>
      </c>
      <c r="B6" s="3" t="s">
        <v>21</v>
      </c>
      <c r="C6" s="3" t="s">
        <v>22</v>
      </c>
      <c r="D6" s="3" t="s">
        <v>15</v>
      </c>
      <c r="E6" s="5">
        <v>6000</v>
      </c>
      <c r="F6" s="3" t="s">
        <v>8</v>
      </c>
    </row>
    <row r="7" spans="1:6" x14ac:dyDescent="0.25">
      <c r="A7" s="2">
        <v>6</v>
      </c>
      <c r="B7" s="3" t="s">
        <v>36</v>
      </c>
      <c r="C7" s="3" t="s">
        <v>37</v>
      </c>
      <c r="D7" s="3" t="s">
        <v>38</v>
      </c>
      <c r="E7" s="5">
        <v>15000</v>
      </c>
      <c r="F7" s="3" t="s">
        <v>8</v>
      </c>
    </row>
    <row r="8" spans="1:6" x14ac:dyDescent="0.25">
      <c r="A8" s="2">
        <v>7</v>
      </c>
      <c r="B8" s="3" t="s">
        <v>39</v>
      </c>
      <c r="C8" s="3" t="s">
        <v>40</v>
      </c>
      <c r="D8" s="3" t="s">
        <v>41</v>
      </c>
      <c r="E8" s="5">
        <v>8000</v>
      </c>
      <c r="F8" s="3" t="s">
        <v>20</v>
      </c>
    </row>
    <row r="9" spans="1:6" x14ac:dyDescent="0.25">
      <c r="A9" s="2">
        <v>8</v>
      </c>
      <c r="B9" s="3" t="s">
        <v>42</v>
      </c>
      <c r="C9" s="3" t="s">
        <v>43</v>
      </c>
      <c r="D9" s="3" t="s">
        <v>44</v>
      </c>
      <c r="E9" s="5">
        <v>20000</v>
      </c>
      <c r="F9" s="3" t="s">
        <v>12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selection activeCell="F2" sqref="F2"/>
    </sheetView>
  </sheetViews>
  <sheetFormatPr defaultRowHeight="15" x14ac:dyDescent="0.25"/>
  <cols>
    <col min="1" max="1" width="12" customWidth="1"/>
    <col min="2" max="2" width="7" customWidth="1"/>
    <col min="3" max="3" width="24.5703125" customWidth="1"/>
    <col min="4" max="4" width="10" customWidth="1"/>
    <col min="5" max="5" width="9" customWidth="1"/>
    <col min="6" max="6" width="12" customWidth="1"/>
    <col min="7" max="7" width="45.28515625" customWidth="1"/>
  </cols>
  <sheetData>
    <row r="1" spans="1:7" x14ac:dyDescent="0.25">
      <c r="A1" s="4" t="s">
        <v>23</v>
      </c>
      <c r="B1" s="4" t="s">
        <v>0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</row>
    <row r="2" spans="1:7" ht="24" customHeight="1" x14ac:dyDescent="0.25">
      <c r="A2" s="9" t="s">
        <v>29</v>
      </c>
      <c r="B2" s="9" t="s">
        <v>5</v>
      </c>
      <c r="C2" s="9" t="str">
        <f>VLOOKUP(B2,'DANH MỤC SẢN PHẨM'!$B$2:$F$9,2,FALSE)</f>
        <v>Sữa tươi Vinamilk 1L</v>
      </c>
      <c r="D2" s="9">
        <v>5</v>
      </c>
      <c r="E2" s="9">
        <f>VLOOKUP(B2,'DANH MỤC SẢN PHẨM'!$B$2:$F$9,4,FALSE)</f>
        <v>32000</v>
      </c>
      <c r="F2" s="9">
        <f>D2*E2</f>
        <v>160000</v>
      </c>
      <c r="G2" s="8" t="s">
        <v>46</v>
      </c>
    </row>
    <row r="3" spans="1:7" ht="24" customHeight="1" x14ac:dyDescent="0.25">
      <c r="A3" s="9" t="s">
        <v>30</v>
      </c>
      <c r="B3" s="9" t="s">
        <v>9</v>
      </c>
      <c r="C3" s="9" t="str">
        <f>VLOOKUP(B3,'DANH MỤC SẢN PHẨM'!$B$2:$F$9,2,FALSE)</f>
        <v>Bánh Oreo 133g</v>
      </c>
      <c r="D3" s="9">
        <v>10</v>
      </c>
      <c r="E3" s="9">
        <f>VLOOKUP(B3,'DANH MỤC SẢN PHẨM'!$B$2:$F$9,4,FALSE)</f>
        <v>18000</v>
      </c>
      <c r="F3" s="9">
        <f>D3*E3</f>
        <v>180000</v>
      </c>
      <c r="G3" s="8" t="s">
        <v>47</v>
      </c>
    </row>
    <row r="4" spans="1:7" ht="24" customHeight="1" x14ac:dyDescent="0.25">
      <c r="A4" s="9" t="s">
        <v>30</v>
      </c>
      <c r="B4" s="9" t="s">
        <v>13</v>
      </c>
      <c r="C4" s="9" t="str">
        <f>VLOOKUP(B4,'DANH MỤC SẢN PHẨM'!$B$2:$F$9,2,FALSE)</f>
        <v>Dầu ăn Tường An 1L</v>
      </c>
      <c r="D4" s="9">
        <v>2</v>
      </c>
      <c r="E4" s="9">
        <f>VLOOKUP(B4,'DANH MỤC SẢN PHẨM'!$B$2:$F$9,4,FALSE)</f>
        <v>52000</v>
      </c>
      <c r="F4" s="9">
        <f t="shared" ref="F4:F6" si="0">D4*E4</f>
        <v>104000</v>
      </c>
      <c r="G4" s="8" t="s">
        <v>48</v>
      </c>
    </row>
    <row r="5" spans="1:7" ht="24" customHeight="1" x14ac:dyDescent="0.25">
      <c r="A5" s="9" t="s">
        <v>31</v>
      </c>
      <c r="B5" s="9" t="s">
        <v>5</v>
      </c>
      <c r="C5" s="9" t="str">
        <f>VLOOKUP(B5,'DANH MỤC SẢN PHẨM'!$B$2:$F$9,2,FALSE)</f>
        <v>Sữa tươi Vinamilk 1L</v>
      </c>
      <c r="D5" s="9">
        <v>8</v>
      </c>
      <c r="E5" s="9">
        <f>VLOOKUP(B5,'DANH MỤC SẢN PHẨM'!$B$2:$F$9,4,FALSE)</f>
        <v>32000</v>
      </c>
      <c r="F5" s="9">
        <f t="shared" si="0"/>
        <v>256000</v>
      </c>
      <c r="G5" s="8" t="s">
        <v>50</v>
      </c>
    </row>
    <row r="6" spans="1:7" ht="24" customHeight="1" x14ac:dyDescent="0.25">
      <c r="A6" s="9" t="s">
        <v>31</v>
      </c>
      <c r="B6" s="9" t="s">
        <v>21</v>
      </c>
      <c r="C6" s="9" t="str">
        <f>VLOOKUP(B6,'DANH MỤC SẢN PHẨM'!$B$2:$F$9,2,FALSE)</f>
        <v>Nước suối Lavie 500ml</v>
      </c>
      <c r="D6" s="9">
        <v>15</v>
      </c>
      <c r="E6" s="9">
        <f>VLOOKUP(B6,'DANH MỤC SẢN PHẨM'!$B$2:$F$9,4,FALSE)</f>
        <v>6000</v>
      </c>
      <c r="F6" s="9">
        <f t="shared" si="0"/>
        <v>90000</v>
      </c>
      <c r="G6" s="8" t="s">
        <v>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workbookViewId="0">
      <selection activeCell="H9" sqref="H9"/>
    </sheetView>
  </sheetViews>
  <sheetFormatPr defaultRowHeight="15" x14ac:dyDescent="0.25"/>
  <cols>
    <col min="1" max="1" width="28" customWidth="1"/>
    <col min="2" max="2" width="15" customWidth="1"/>
    <col min="3" max="3" width="15.5703125" customWidth="1"/>
    <col min="4" max="4" width="20" customWidth="1"/>
    <col min="5" max="5" width="21" customWidth="1"/>
  </cols>
  <sheetData>
    <row r="1" spans="1:5" x14ac:dyDescent="0.25">
      <c r="A1" s="6" t="s">
        <v>4</v>
      </c>
      <c r="B1" s="6" t="s">
        <v>32</v>
      </c>
      <c r="C1" s="6" t="s">
        <v>33</v>
      </c>
      <c r="D1" s="6" t="s">
        <v>34</v>
      </c>
      <c r="E1" s="6" t="s">
        <v>35</v>
      </c>
    </row>
    <row r="2" spans="1:5" s="12" customFormat="1" ht="22.5" customHeight="1" x14ac:dyDescent="0.25">
      <c r="A2" s="10" t="s">
        <v>8</v>
      </c>
      <c r="B2" s="11">
        <f>SUMIF('DANH MỤC SẢN PHẨM'!F:F,A2,'BẢNG BÁN HÀNG'!D:D)</f>
        <v>20</v>
      </c>
      <c r="C2" s="9">
        <f>SUMIF('DANH MỤC SẢN PHẨM'!F:F,A2,'BẢNG BÁN HÀNG'!F:F)</f>
        <v>250000</v>
      </c>
      <c r="D2" s="9">
        <f>MAX(IF('DANH MỤC SẢN PHẨM'!F:F=A2,'BẢNG BÁN HÀNG'!F:F))</f>
        <v>256000</v>
      </c>
      <c r="E2" s="9" t="str">
        <f>INDEX('BẢNG BÁN HÀNG'!A:A, MATCH(D2, 'BẢNG BÁN HÀNG'!F:F,0))</f>
        <v>03/11/2025</v>
      </c>
    </row>
    <row r="3" spans="1:5" s="12" customFormat="1" ht="22.5" customHeight="1" x14ac:dyDescent="0.25">
      <c r="A3" s="10" t="s">
        <v>12</v>
      </c>
      <c r="B3" s="11">
        <f>SUMIF('DANH MỤC SẢN PHẨM'!F:F,A3,'BẢNG BÁN HÀNG'!D:D)</f>
        <v>10</v>
      </c>
      <c r="C3" s="9">
        <f>SUMIF('DANH MỤC SẢN PHẨM'!F:F,A3,'BẢNG BÁN HÀNG'!F:F)</f>
        <v>180000</v>
      </c>
      <c r="D3" s="9">
        <f>MAX(IF('DANH MỤC SẢN PHẨM'!F:F=A3,'BẢNG BÁN HÀNG'!F:F))</f>
        <v>256000</v>
      </c>
      <c r="E3" s="9" t="str">
        <f>INDEX('BẢNG BÁN HÀNG'!A:A, MATCH(D3, 'BẢNG BÁN HÀNG'!F:F,0))</f>
        <v>03/11/2025</v>
      </c>
    </row>
    <row r="4" spans="1:5" s="12" customFormat="1" ht="22.5" customHeight="1" x14ac:dyDescent="0.25">
      <c r="A4" s="10" t="s">
        <v>16</v>
      </c>
      <c r="B4" s="11">
        <f>SUMIF('DANH MỤC SẢN PHẨM'!F:F,A4,'BẢNG BÁN HÀNG'!D:D)</f>
        <v>2</v>
      </c>
      <c r="C4" s="9">
        <f>SUMIF('DANH MỤC SẢN PHẨM'!F:F,A4,'BẢNG BÁN HÀNG'!F:F)</f>
        <v>104000</v>
      </c>
      <c r="D4" s="9">
        <f>MAX(IF('DANH MỤC SẢN PHẨM'!F:F=A4,'BẢNG BÁN HÀNG'!F:F))</f>
        <v>256000</v>
      </c>
      <c r="E4" s="9" t="str">
        <f>INDEX('BẢNG BÁN HÀNG'!A:A, MATCH(D4, 'BẢNG BÁN HÀNG'!F:F,0))</f>
        <v>03/11/2025</v>
      </c>
    </row>
    <row r="5" spans="1:5" s="12" customFormat="1" ht="22.5" customHeight="1" x14ac:dyDescent="0.25">
      <c r="A5" s="10" t="s">
        <v>20</v>
      </c>
      <c r="B5" s="11">
        <f>SUMIF('DANH MỤC SẢN PHẨM'!F:F,A5,'BẢNG BÁN HÀNG'!D:D)</f>
        <v>8</v>
      </c>
      <c r="C5" s="9">
        <f>SUMIF('DANH MỤC SẢN PHẨM'!F:F,A5,'BẢNG BÁN HÀNG'!F:F)</f>
        <v>256000</v>
      </c>
      <c r="D5" s="9">
        <f>MAX(IF('DANH MỤC SẢN PHẨM'!F:F=A5,'BẢNG BÁN HÀNG'!F:F))</f>
        <v>256000</v>
      </c>
      <c r="E5" s="9" t="str">
        <f>INDEX('BẢNG BÁN HÀNG'!A:A, MATCH(D5, 'BẢNG BÁN HÀNG'!F:F,0))</f>
        <v>03/11/2025</v>
      </c>
    </row>
    <row r="6" spans="1:5" ht="18.75" x14ac:dyDescent="0.3">
      <c r="A6" s="7"/>
      <c r="B6" s="7"/>
      <c r="C6" s="7"/>
      <c r="D6" s="7"/>
      <c r="E6" s="7"/>
    </row>
    <row r="15" spans="1:5" x14ac:dyDescent="0.25">
      <c r="E15" s="13"/>
    </row>
  </sheetData>
  <mergeCells count="1">
    <mergeCell ref="A6:E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MỤC SẢN PHẨM</vt:lpstr>
      <vt:lpstr>BẢNG BÁN HÀNG</vt:lpstr>
      <vt:lpstr>BÁO CÁO – 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Tran</cp:lastModifiedBy>
  <dcterms:created xsi:type="dcterms:W3CDTF">2025-11-08T01:09:31Z</dcterms:created>
  <dcterms:modified xsi:type="dcterms:W3CDTF">2025-11-22T02:52:26Z</dcterms:modified>
</cp:coreProperties>
</file>